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ThisWorkbook"/>
  <mc:AlternateContent xmlns:mc="http://schemas.openxmlformats.org/markup-compatibility/2006">
    <mc:Choice Requires="x15">
      <x15ac:absPath xmlns:x15ac="http://schemas.microsoft.com/office/spreadsheetml/2010/11/ac" url="Z:\AltiumDB\Templates\"/>
    </mc:Choice>
  </mc:AlternateContent>
  <xr:revisionPtr revIDLastSave="0" documentId="13_ncr:11_{78C51263-135C-42C3-BCA7-0517BD595358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BOM Report" sheetId="1" r:id="rId1"/>
    <sheet name="Stock" sheetId="3" r:id="rId2"/>
    <sheet name="Project Information" sheetId="2" r:id="rId3"/>
  </sheets>
  <definedNames>
    <definedName name="_?from_EUR_amount_1_1" localSheetId="0">'BOM Report'!#REF!</definedName>
    <definedName name="_xlnm.Print_Area" localSheetId="0">'BOM Report'!$A$1:$P$27</definedName>
    <definedName name="_xlnm.Print_Area" localSheetId="1">Stock!$A$1:$N$36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4" i="1" l="1"/>
  <c r="A15" i="1"/>
  <c r="A13" i="1"/>
  <c r="A3" i="3" l="1"/>
  <c r="A4" i="3"/>
  <c r="A2" i="3" l="1"/>
  <c r="P14" i="1" l="1"/>
  <c r="P15" i="1"/>
  <c r="P13" i="1"/>
  <c r="O17" i="1" l="1"/>
</calcChain>
</file>

<file path=xl/sharedStrings.xml><?xml version="1.0" encoding="utf-8"?>
<sst xmlns="http://schemas.openxmlformats.org/spreadsheetml/2006/main" count="85" uniqueCount="66">
  <si>
    <t>Approved</t>
  </si>
  <si>
    <t>Notes</t>
  </si>
  <si>
    <t>Creation Date:</t>
  </si>
  <si>
    <t>Column=Comment</t>
  </si>
  <si>
    <t>Column=Description</t>
  </si>
  <si>
    <t>Column=Quantity</t>
  </si>
  <si>
    <t>Source Data From:</t>
  </si>
  <si>
    <t>Variant:</t>
  </si>
  <si>
    <t>Column=Designator</t>
  </si>
  <si>
    <t>Field=ProjectFileName</t>
  </si>
  <si>
    <t>Field=VariantName</t>
  </si>
  <si>
    <t>Field=DataSourceFileName</t>
  </si>
  <si>
    <t>Field=TotalQuantity</t>
  </si>
  <si>
    <t>Field=Title</t>
  </si>
  <si>
    <t>Field=ReportDate</t>
  </si>
  <si>
    <t>Field=ReportTime</t>
  </si>
  <si>
    <t>Field=GeneratorDescription</t>
  </si>
  <si>
    <t>Title</t>
  </si>
  <si>
    <t>Field=ProjectFullPath</t>
  </si>
  <si>
    <t>Field=DataSourceFullPath</t>
  </si>
  <si>
    <t>Field=OutputName</t>
  </si>
  <si>
    <t>Field=OutputType</t>
  </si>
  <si>
    <t>Field=GeneratorName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</si>
  <si>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</si>
  <si>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</si>
  <si>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</si>
  <si>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</si>
  <si>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</si>
  <si>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</si>
  <si>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</si>
  <si>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</si>
  <si>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</si>
  <si>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Field=ReportDateTime</t>
  </si>
  <si>
    <t>Output Type</t>
  </si>
  <si>
    <t>Output Generator Name</t>
  </si>
  <si>
    <t>Output Generator Description</t>
  </si>
  <si>
    <t>Project:</t>
  </si>
  <si>
    <t>Bill of Materials</t>
  </si>
  <si>
    <t>Production Quantity:</t>
  </si>
  <si>
    <t>Column=Supplier 1</t>
  </si>
  <si>
    <t>Column=Supplier Part Number 1</t>
  </si>
  <si>
    <t>Column=Supplier Unit Price 1</t>
  </si>
  <si>
    <t>Column=Supplier Order Qty 1</t>
  </si>
  <si>
    <t>Column=Supplier Subtotal 1</t>
  </si>
  <si>
    <t>Field=ProductionQuantity</t>
  </si>
  <si>
    <t>Currency</t>
  </si>
  <si>
    <t>Column=Supplier Stock 1</t>
  </si>
  <si>
    <t>Column=Manufacturer</t>
  </si>
  <si>
    <t>Column=Manufacturer Part Number</t>
  </si>
  <si>
    <t>#</t>
  </si>
  <si>
    <t>Column=Supplier Currency 1</t>
  </si>
  <si>
    <t>Price in EUR</t>
  </si>
  <si>
    <t>Currency convertion</t>
  </si>
  <si>
    <t>USD to EUR:</t>
  </si>
  <si>
    <t>GBD to EUR:</t>
  </si>
  <si>
    <t>Total price</t>
  </si>
  <si>
    <t>EUR</t>
  </si>
  <si>
    <t>Column=Supplier 2</t>
  </si>
  <si>
    <t>Column=Supplier Part Number 2</t>
  </si>
  <si>
    <t>Column=Supplier Stock 2</t>
  </si>
  <si>
    <t>Column=Supplier Unit Price 2</t>
  </si>
  <si>
    <t>Column=Supplier Order Qty 2</t>
  </si>
  <si>
    <t>Column=Supplier Subtotal 2</t>
  </si>
  <si>
    <t>Column=Supplier Currency 2</t>
  </si>
  <si>
    <t>Column=Package</t>
  </si>
  <si>
    <t>Report Date &amp;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</si>
</sst>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yyyy\-mm\-dd;@"/>
    <numFmt numFmtId="166" formatCode="h:mm;@"/>
    <numFmt numFmtId="167" formatCode="#,##0.00\ &quot;€&quot;"/>
  </numFmts>
  <fonts count="12" x14ac:knownFonts="1">
    <font>
      <sz val="10"/>
      <name val="Arial"/>
    </font>
    <font>
      <sz val="10"/>
      <name val="Arial"/>
      <family val="2"/>
      <charset val="186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  <charset val="186"/>
    </font>
    <font>
      <sz val="10"/>
      <name val="Arial"/>
      <family val="2"/>
    </font>
    <font>
      <b/>
      <sz val="10"/>
      <name val="Arial"/>
      <family val="2"/>
      <charset val="186"/>
    </font>
    <font>
      <i/>
      <sz val="10"/>
      <name val="Arial"/>
      <family val="2"/>
      <charset val="186"/>
    </font>
    <font>
      <b/>
      <sz val="24"/>
      <name val="Arial"/>
      <family val="2"/>
    </font>
    <font>
      <b/>
      <sz val="9"/>
      <name val="Arial"/>
      <family val="2"/>
      <charset val="186"/>
    </font>
    <font>
      <b/>
      <sz val="10"/>
      <name val="Arial"/>
      <family val="2"/>
      <charset val="186"/>
    </font>
    <font>
      <sz val="10"/>
      <name val="Arial"/>
      <family val="2"/>
      <charset val="186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2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thin">
        <color indexed="64"/>
      </top>
      <bottom/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2"/>
      </left>
      <right style="medium">
        <color indexed="64"/>
      </right>
      <top style="medium">
        <color indexed="62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3">
    <xf numFmtId="0" fontId="0" fillId="0" borderId="0" xfId="0"/>
    <xf numFmtId="14" fontId="0" fillId="0" borderId="0" xfId="0" applyNumberFormat="1" applyBorder="1" applyAlignment="1"/>
    <xf numFmtId="0" fontId="0" fillId="0" borderId="0" xfId="0" applyAlignment="1"/>
    <xf numFmtId="0" fontId="0" fillId="0" borderId="2" xfId="0" applyBorder="1" applyAlignment="1"/>
    <xf numFmtId="0" fontId="0" fillId="0" borderId="0" xfId="0" applyBorder="1" applyAlignment="1"/>
    <xf numFmtId="0" fontId="0" fillId="0" borderId="0" xfId="0" applyAlignment="1">
      <alignment vertical="top"/>
    </xf>
    <xf numFmtId="0" fontId="0" fillId="2" borderId="3" xfId="0" applyFill="1" applyBorder="1" applyAlignment="1"/>
    <xf numFmtId="0" fontId="4" fillId="0" borderId="0" xfId="0" applyFont="1" applyBorder="1" applyAlignment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2" fillId="3" borderId="5" xfId="0" applyFont="1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7" fillId="4" borderId="11" xfId="0" applyNumberFormat="1" applyFont="1" applyFill="1" applyBorder="1" applyAlignment="1" applyProtection="1">
      <alignment vertical="top" wrapText="1"/>
      <protection locked="0"/>
    </xf>
    <xf numFmtId="0" fontId="1" fillId="4" borderId="12" xfId="0" applyNumberFormat="1" applyFont="1" applyFill="1" applyBorder="1" applyAlignment="1" applyProtection="1">
      <alignment horizontal="left" vertical="top" wrapText="1"/>
      <protection locked="0"/>
    </xf>
    <xf numFmtId="0" fontId="7" fillId="4" borderId="12" xfId="0" applyNumberFormat="1" applyFont="1" applyFill="1" applyBorder="1" applyAlignment="1" applyProtection="1">
      <alignment vertical="top" wrapText="1"/>
      <protection locked="0"/>
    </xf>
    <xf numFmtId="0" fontId="1" fillId="4" borderId="13" xfId="0" applyNumberFormat="1" applyFont="1" applyFill="1" applyBorder="1" applyAlignment="1" applyProtection="1">
      <alignment vertical="top" wrapText="1"/>
      <protection locked="0"/>
    </xf>
    <xf numFmtId="0" fontId="1" fillId="4" borderId="2" xfId="0" applyNumberFormat="1" applyFont="1" applyFill="1" applyBorder="1" applyAlignment="1" applyProtection="1">
      <alignment horizontal="left" vertical="top" wrapText="1"/>
      <protection locked="0"/>
    </xf>
    <xf numFmtId="0" fontId="7" fillId="4" borderId="2" xfId="0" applyNumberFormat="1" applyFont="1" applyFill="1" applyBorder="1" applyAlignment="1" applyProtection="1">
      <alignment vertical="top" wrapText="1"/>
      <protection locked="0"/>
    </xf>
    <xf numFmtId="0" fontId="0" fillId="0" borderId="14" xfId="0" applyBorder="1" applyAlignment="1">
      <alignment horizontal="left"/>
    </xf>
    <xf numFmtId="0" fontId="0" fillId="0" borderId="0" xfId="0" applyBorder="1" applyAlignment="1">
      <alignment horizontal="left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2" xfId="0" applyNumberFormat="1" applyFont="1" applyFill="1" applyBorder="1" applyAlignment="1" applyProtection="1">
      <alignment vertical="top"/>
      <protection locked="0"/>
    </xf>
    <xf numFmtId="0" fontId="1" fillId="0" borderId="16" xfId="0" applyNumberFormat="1" applyFont="1" applyFill="1" applyBorder="1" applyAlignment="1" applyProtection="1">
      <alignment horizontal="left" vertical="top"/>
      <protection locked="0"/>
    </xf>
    <xf numFmtId="0" fontId="1" fillId="0" borderId="17" xfId="0" applyNumberFormat="1" applyFont="1" applyFill="1" applyBorder="1" applyAlignment="1" applyProtection="1">
      <alignment horizontal="left" vertical="top"/>
      <protection locked="0"/>
    </xf>
    <xf numFmtId="0" fontId="1" fillId="0" borderId="17" xfId="0" applyNumberFormat="1" applyFont="1" applyFill="1" applyBorder="1" applyAlignment="1" applyProtection="1">
      <alignment vertical="top"/>
      <protection locked="0"/>
    </xf>
    <xf numFmtId="0" fontId="0" fillId="2" borderId="18" xfId="0" applyFill="1" applyBorder="1" applyAlignment="1">
      <alignment horizontal="left"/>
    </xf>
    <xf numFmtId="0" fontId="0" fillId="2" borderId="12" xfId="0" applyFill="1" applyBorder="1" applyAlignment="1"/>
    <xf numFmtId="0" fontId="1" fillId="0" borderId="1" xfId="0" applyNumberFormat="1" applyFont="1" applyFill="1" applyBorder="1" applyAlignment="1" applyProtection="1">
      <alignment vertical="top"/>
      <protection locked="0"/>
    </xf>
    <xf numFmtId="0" fontId="1" fillId="0" borderId="13" xfId="0" applyNumberFormat="1" applyFont="1" applyFill="1" applyBorder="1" applyAlignment="1" applyProtection="1">
      <alignment vertical="top"/>
      <protection locked="0"/>
    </xf>
    <xf numFmtId="0" fontId="1" fillId="0" borderId="11" xfId="0" applyNumberFormat="1" applyFont="1" applyFill="1" applyBorder="1" applyAlignment="1" applyProtection="1">
      <alignment vertical="top"/>
      <protection locked="0"/>
    </xf>
    <xf numFmtId="0" fontId="1" fillId="0" borderId="19" xfId="0" applyNumberFormat="1" applyFont="1" applyFill="1" applyBorder="1" applyAlignment="1" applyProtection="1">
      <alignment horizontal="left" vertical="top"/>
      <protection locked="0"/>
    </xf>
    <xf numFmtId="0" fontId="1" fillId="0" borderId="20" xfId="0" applyNumberFormat="1" applyFont="1" applyFill="1" applyBorder="1" applyAlignment="1" applyProtection="1">
      <alignment horizontal="left" vertical="top"/>
      <protection locked="0"/>
    </xf>
    <xf numFmtId="0" fontId="1" fillId="0" borderId="20" xfId="0" applyNumberFormat="1" applyFont="1" applyFill="1" applyBorder="1" applyAlignment="1" applyProtection="1">
      <alignment vertical="top"/>
      <protection locked="0"/>
    </xf>
    <xf numFmtId="0" fontId="1" fillId="0" borderId="21" xfId="0" applyNumberFormat="1" applyFont="1" applyFill="1" applyBorder="1" applyAlignment="1" applyProtection="1">
      <alignment horizontal="left" vertical="top"/>
      <protection locked="0"/>
    </xf>
    <xf numFmtId="0" fontId="1" fillId="0" borderId="22" xfId="0" applyNumberFormat="1" applyFont="1" applyFill="1" applyBorder="1" applyAlignment="1" applyProtection="1">
      <alignment horizontal="left" vertical="top"/>
      <protection locked="0"/>
    </xf>
    <xf numFmtId="0" fontId="1" fillId="0" borderId="22" xfId="0" applyNumberFormat="1" applyFont="1" applyFill="1" applyBorder="1" applyAlignment="1" applyProtection="1">
      <alignment vertical="top"/>
      <protection locked="0"/>
    </xf>
    <xf numFmtId="0" fontId="2" fillId="0" borderId="2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/>
    <xf numFmtId="0" fontId="2" fillId="0" borderId="4" xfId="0" applyFont="1" applyBorder="1" applyAlignment="1">
      <alignment horizontal="left"/>
    </xf>
    <xf numFmtId="0" fontId="0" fillId="0" borderId="4" xfId="0" applyBorder="1" applyAlignment="1"/>
    <xf numFmtId="0" fontId="6" fillId="0" borderId="0" xfId="0" applyNumberFormat="1" applyFont="1" applyFill="1" applyBorder="1" applyAlignment="1" applyProtection="1">
      <alignment horizontal="left" vertical="top"/>
      <protection locked="0"/>
    </xf>
    <xf numFmtId="0" fontId="6" fillId="0" borderId="0" xfId="0" applyNumberFormat="1" applyFont="1" applyFill="1" applyBorder="1" applyAlignment="1" applyProtection="1">
      <alignment vertical="top"/>
      <protection locked="0"/>
    </xf>
    <xf numFmtId="0" fontId="1" fillId="0" borderId="12" xfId="0" applyNumberFormat="1" applyFont="1" applyFill="1" applyBorder="1" applyAlignment="1" applyProtection="1">
      <alignment vertical="top"/>
      <protection locked="0"/>
    </xf>
    <xf numFmtId="0" fontId="0" fillId="0" borderId="0" xfId="0" applyBorder="1" applyAlignment="1">
      <alignment vertical="top"/>
    </xf>
    <xf numFmtId="0" fontId="1" fillId="0" borderId="23" xfId="0" applyNumberFormat="1" applyFont="1" applyFill="1" applyBorder="1" applyAlignment="1" applyProtection="1">
      <alignment vertical="top"/>
      <protection locked="0"/>
    </xf>
    <xf numFmtId="0" fontId="1" fillId="0" borderId="24" xfId="0" applyNumberFormat="1" applyFont="1" applyFill="1" applyBorder="1" applyAlignment="1" applyProtection="1">
      <alignment vertical="top"/>
      <protection locked="0"/>
    </xf>
    <xf numFmtId="0" fontId="7" fillId="4" borderId="23" xfId="0" applyNumberFormat="1" applyFont="1" applyFill="1" applyBorder="1" applyAlignment="1" applyProtection="1">
      <alignment vertical="top" wrapText="1"/>
      <protection locked="0"/>
    </xf>
    <xf numFmtId="0" fontId="7" fillId="4" borderId="25" xfId="0" applyNumberFormat="1" applyFont="1" applyFill="1" applyBorder="1" applyAlignment="1" applyProtection="1">
      <alignment vertical="top" wrapText="1"/>
      <protection locked="0"/>
    </xf>
    <xf numFmtId="0" fontId="9" fillId="0" borderId="0" xfId="0" applyFont="1" applyAlignment="1">
      <alignment horizontal="left" vertical="center" wrapText="1"/>
    </xf>
    <xf numFmtId="0" fontId="5" fillId="0" borderId="0" xfId="0" applyFont="1" applyFill="1" applyAlignment="1">
      <alignment horizontal="left" vertical="center" wrapText="1"/>
    </xf>
    <xf numFmtId="0" fontId="0" fillId="0" borderId="0" xfId="0" applyFill="1" applyAlignment="1">
      <alignment vertical="top"/>
    </xf>
    <xf numFmtId="0" fontId="0" fillId="0" borderId="0" xfId="0" applyFill="1" applyBorder="1" applyAlignment="1">
      <alignment horizontal="left" vertical="top"/>
    </xf>
    <xf numFmtId="0" fontId="0" fillId="0" borderId="0" xfId="0" applyFill="1" applyBorder="1" applyAlignment="1">
      <alignment vertical="top"/>
    </xf>
    <xf numFmtId="1" fontId="0" fillId="0" borderId="0" xfId="0" applyNumberFormat="1" applyFill="1" applyBorder="1" applyAlignment="1">
      <alignment vertical="top"/>
    </xf>
    <xf numFmtId="164" fontId="0" fillId="0" borderId="0" xfId="1" applyFont="1" applyFill="1" applyBorder="1" applyAlignment="1">
      <alignment vertical="top"/>
    </xf>
    <xf numFmtId="0" fontId="8" fillId="0" borderId="0" xfId="0" applyFont="1" applyBorder="1" applyAlignment="1">
      <alignment vertical="center"/>
    </xf>
    <xf numFmtId="49" fontId="0" fillId="0" borderId="2" xfId="0" applyNumberFormat="1" applyBorder="1" applyAlignment="1">
      <alignment horizontal="left"/>
    </xf>
    <xf numFmtId="49" fontId="0" fillId="0" borderId="0" xfId="0" applyNumberFormat="1" applyBorder="1" applyAlignment="1">
      <alignment horizontal="left"/>
    </xf>
    <xf numFmtId="0" fontId="0" fillId="0" borderId="26" xfId="0" applyBorder="1" applyAlignment="1">
      <alignment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5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0" xfId="0" applyBorder="1"/>
    <xf numFmtId="0" fontId="1" fillId="0" borderId="29" xfId="0" applyNumberFormat="1" applyFont="1" applyFill="1" applyBorder="1" applyAlignment="1" applyProtection="1">
      <protection locked="0"/>
    </xf>
    <xf numFmtId="0" fontId="1" fillId="0" borderId="24" xfId="0" applyNumberFormat="1" applyFont="1" applyFill="1" applyBorder="1" applyAlignment="1" applyProtection="1">
      <protection locked="0"/>
    </xf>
    <xf numFmtId="0" fontId="1" fillId="0" borderId="4" xfId="0" applyNumberFormat="1" applyFont="1" applyFill="1" applyBorder="1" applyAlignment="1" applyProtection="1">
      <alignment vertical="top"/>
      <protection locked="0"/>
    </xf>
    <xf numFmtId="0" fontId="1" fillId="0" borderId="30" xfId="0" applyNumberFormat="1" applyFont="1" applyFill="1" applyBorder="1" applyAlignment="1" applyProtection="1">
      <alignment vertical="top"/>
      <protection locked="0"/>
    </xf>
    <xf numFmtId="0" fontId="5" fillId="0" borderId="0" xfId="0" applyFont="1" applyFill="1" applyAlignment="1">
      <alignment vertical="top"/>
    </xf>
    <xf numFmtId="49" fontId="11" fillId="0" borderId="4" xfId="0" applyNumberFormat="1" applyFont="1" applyBorder="1" applyAlignment="1">
      <alignment horizontal="left"/>
    </xf>
    <xf numFmtId="0" fontId="9" fillId="3" borderId="31" xfId="0" applyFont="1" applyFill="1" applyBorder="1" applyAlignment="1">
      <alignment horizontal="left" vertical="center" wrapText="1"/>
    </xf>
    <xf numFmtId="0" fontId="9" fillId="7" borderId="31" xfId="0" applyFont="1" applyFill="1" applyBorder="1" applyAlignment="1">
      <alignment horizontal="left" vertical="center" wrapText="1"/>
    </xf>
    <xf numFmtId="0" fontId="9" fillId="8" borderId="31" xfId="0" applyFont="1" applyFill="1" applyBorder="1" applyAlignment="1">
      <alignment horizontal="left" vertical="center" wrapText="1"/>
    </xf>
    <xf numFmtId="0" fontId="0" fillId="0" borderId="32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9" fillId="7" borderId="34" xfId="0" applyFont="1" applyFill="1" applyBorder="1" applyAlignment="1">
      <alignment horizontal="left" vertical="center" wrapText="1"/>
    </xf>
    <xf numFmtId="0" fontId="0" fillId="0" borderId="30" xfId="0" applyBorder="1" applyAlignment="1">
      <alignment horizontal="left" vertical="top" wrapText="1"/>
    </xf>
    <xf numFmtId="0" fontId="9" fillId="3" borderId="35" xfId="0" applyFont="1" applyFill="1" applyBorder="1" applyAlignment="1">
      <alignment horizontal="left" vertical="center" wrapText="1"/>
    </xf>
    <xf numFmtId="0" fontId="0" fillId="0" borderId="36" xfId="0" applyBorder="1" applyAlignment="1">
      <alignment horizontal="left" vertical="top" wrapText="1"/>
    </xf>
    <xf numFmtId="0" fontId="9" fillId="8" borderId="34" xfId="0" applyFont="1" applyFill="1" applyBorder="1" applyAlignment="1">
      <alignment horizontal="left" vertical="center" wrapText="1"/>
    </xf>
    <xf numFmtId="0" fontId="9" fillId="7" borderId="35" xfId="0" applyFont="1" applyFill="1" applyBorder="1" applyAlignment="1">
      <alignment horizontal="left" vertical="center" wrapText="1"/>
    </xf>
    <xf numFmtId="0" fontId="5" fillId="0" borderId="15" xfId="0" applyFont="1" applyFill="1" applyBorder="1" applyAlignment="1">
      <alignment horizontal="left" vertical="top" wrapText="1"/>
    </xf>
    <xf numFmtId="0" fontId="5" fillId="0" borderId="33" xfId="0" applyFont="1" applyFill="1" applyBorder="1" applyAlignment="1">
      <alignment horizontal="left" vertical="top" wrapText="1"/>
    </xf>
    <xf numFmtId="0" fontId="9" fillId="3" borderId="15" xfId="0" applyFont="1" applyFill="1" applyBorder="1" applyAlignment="1">
      <alignment horizontal="left" vertical="center" wrapText="1"/>
    </xf>
    <xf numFmtId="165" fontId="0" fillId="0" borderId="2" xfId="0" applyNumberFormat="1" applyBorder="1" applyAlignment="1">
      <alignment horizontal="left" vertical="center"/>
    </xf>
    <xf numFmtId="166" fontId="4" fillId="0" borderId="2" xfId="0" applyNumberFormat="1" applyFont="1" applyBorder="1" applyAlignment="1">
      <alignment horizontal="left" vertical="center"/>
    </xf>
    <xf numFmtId="3" fontId="0" fillId="0" borderId="0" xfId="0" applyNumberFormat="1" applyAlignment="1">
      <alignment vertical="top"/>
    </xf>
    <xf numFmtId="3" fontId="0" fillId="0" borderId="0" xfId="0" applyNumberFormat="1" applyBorder="1" applyAlignment="1">
      <alignment vertical="top"/>
    </xf>
    <xf numFmtId="0" fontId="11" fillId="0" borderId="0" xfId="0" applyFont="1" applyBorder="1" applyAlignment="1"/>
    <xf numFmtId="0" fontId="0" fillId="2" borderId="12" xfId="0" applyNumberFormat="1" applyFill="1" applyBorder="1" applyAlignment="1"/>
    <xf numFmtId="0" fontId="0" fillId="2" borderId="3" xfId="0" applyNumberFormat="1" applyFill="1" applyBorder="1" applyAlignment="1"/>
    <xf numFmtId="0" fontId="0" fillId="0" borderId="0" xfId="0" applyNumberFormat="1" applyBorder="1" applyAlignment="1"/>
    <xf numFmtId="0" fontId="2" fillId="0" borderId="0" xfId="0" applyNumberFormat="1" applyFont="1" applyBorder="1" applyAlignment="1"/>
    <xf numFmtId="0" fontId="9" fillId="3" borderId="15" xfId="0" applyNumberFormat="1" applyFont="1" applyFill="1" applyBorder="1" applyAlignment="1">
      <alignment horizontal="left" vertical="center" wrapText="1"/>
    </xf>
    <xf numFmtId="0" fontId="0" fillId="0" borderId="0" xfId="0" applyNumberFormat="1" applyFill="1" applyBorder="1" applyAlignment="1">
      <alignment vertical="top"/>
    </xf>
    <xf numFmtId="0" fontId="0" fillId="0" borderId="0" xfId="0" applyNumberFormat="1" applyAlignment="1">
      <alignment vertical="top"/>
    </xf>
    <xf numFmtId="0" fontId="5" fillId="5" borderId="15" xfId="0" applyFont="1" applyFill="1" applyBorder="1" applyAlignment="1">
      <alignment horizontal="left" vertical="center" wrapText="1"/>
    </xf>
    <xf numFmtId="0" fontId="5" fillId="5" borderId="15" xfId="0" applyFont="1" applyFill="1" applyBorder="1" applyAlignment="1">
      <alignment horizontal="center" vertical="center" wrapText="1"/>
    </xf>
    <xf numFmtId="1" fontId="5" fillId="5" borderId="15" xfId="0" applyNumberFormat="1" applyFont="1" applyFill="1" applyBorder="1" applyAlignment="1">
      <alignment horizontal="left" vertical="center" wrapText="1"/>
    </xf>
    <xf numFmtId="49" fontId="5" fillId="5" borderId="15" xfId="0" applyNumberFormat="1" applyFont="1" applyFill="1" applyBorder="1" applyAlignment="1">
      <alignment horizontal="left" vertical="center" wrapText="1"/>
    </xf>
    <xf numFmtId="0" fontId="5" fillId="5" borderId="15" xfId="0" applyFont="1" applyFill="1" applyBorder="1" applyAlignment="1">
      <alignment horizontal="left" vertical="center"/>
    </xf>
    <xf numFmtId="0" fontId="5" fillId="5" borderId="15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left" vertical="center"/>
    </xf>
    <xf numFmtId="1" fontId="5" fillId="5" borderId="15" xfId="0" applyNumberFormat="1" applyFont="1" applyFill="1" applyBorder="1" applyAlignment="1">
      <alignment horizontal="left" vertical="center"/>
    </xf>
    <xf numFmtId="49" fontId="5" fillId="5" borderId="15" xfId="0" applyNumberFormat="1" applyFont="1" applyFill="1" applyBorder="1" applyAlignment="1">
      <alignment horizontal="left" vertical="center"/>
    </xf>
    <xf numFmtId="0" fontId="5" fillId="9" borderId="15" xfId="0" applyFont="1" applyFill="1" applyBorder="1" applyAlignment="1">
      <alignment horizontal="left" vertical="center" wrapText="1"/>
    </xf>
    <xf numFmtId="0" fontId="5" fillId="9" borderId="15" xfId="0" applyFont="1" applyFill="1" applyBorder="1" applyAlignment="1">
      <alignment horizontal="center" vertical="center" wrapText="1"/>
    </xf>
    <xf numFmtId="1" fontId="5" fillId="9" borderId="15" xfId="0" applyNumberFormat="1" applyFont="1" applyFill="1" applyBorder="1" applyAlignment="1">
      <alignment horizontal="left" vertical="center" wrapText="1"/>
    </xf>
    <xf numFmtId="49" fontId="5" fillId="9" borderId="15" xfId="0" applyNumberFormat="1" applyFont="1" applyFill="1" applyBorder="1" applyAlignment="1">
      <alignment horizontal="left" vertical="center" wrapText="1"/>
    </xf>
    <xf numFmtId="0" fontId="5" fillId="5" borderId="15" xfId="1" applyNumberFormat="1" applyFont="1" applyFill="1" applyBorder="1" applyAlignment="1">
      <alignment horizontal="center" vertical="center" wrapText="1"/>
    </xf>
    <xf numFmtId="167" fontId="5" fillId="5" borderId="15" xfId="0" applyNumberFormat="1" applyFont="1" applyFill="1" applyBorder="1" applyAlignment="1">
      <alignment horizontal="center" vertical="center" wrapText="1"/>
    </xf>
    <xf numFmtId="0" fontId="5" fillId="5" borderId="15" xfId="1" applyNumberFormat="1" applyFont="1" applyFill="1" applyBorder="1" applyAlignment="1">
      <alignment horizontal="center" vertical="center"/>
    </xf>
    <xf numFmtId="0" fontId="5" fillId="9" borderId="15" xfId="1" applyNumberFormat="1" applyFont="1" applyFill="1" applyBorder="1" applyAlignment="1">
      <alignment horizontal="center" vertical="center" wrapText="1"/>
    </xf>
    <xf numFmtId="167" fontId="5" fillId="9" borderId="15" xfId="0" applyNumberFormat="1" applyFont="1" applyFill="1" applyBorder="1" applyAlignment="1">
      <alignment horizontal="center" vertical="center" wrapText="1"/>
    </xf>
    <xf numFmtId="167" fontId="10" fillId="6" borderId="28" xfId="0" applyNumberFormat="1" applyFont="1" applyFill="1" applyBorder="1" applyAlignment="1">
      <alignment horizontal="center" vertical="center"/>
    </xf>
    <xf numFmtId="167" fontId="10" fillId="6" borderId="6" xfId="0" applyNumberFormat="1" applyFont="1" applyFill="1" applyBorder="1" applyAlignment="1">
      <alignment horizontal="center" vertical="center"/>
    </xf>
    <xf numFmtId="167" fontId="10" fillId="6" borderId="27" xfId="0" applyNumberFormat="1" applyFont="1" applyFill="1" applyBorder="1" applyAlignment="1">
      <alignment horizontal="center" vertical="center"/>
    </xf>
    <xf numFmtId="167" fontId="10" fillId="6" borderId="1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</cellXfs>
  <cellStyles count="2">
    <cellStyle name="Currency" xfId="1" builtinId="4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P46"/>
  <sheetViews>
    <sheetView showGridLines="0" tabSelected="1" zoomScale="85" zoomScaleNormal="85" zoomScalePageLayoutView="115" workbookViewId="0">
      <selection activeCell="R25" sqref="R25"/>
    </sheetView>
  </sheetViews>
  <sheetFormatPr defaultRowHeight="12.75" x14ac:dyDescent="0.2"/>
  <cols>
    <col min="1" max="1" width="4" style="5" bestFit="1" customWidth="1"/>
    <col min="2" max="2" width="12.5703125" style="5" customWidth="1"/>
    <col min="3" max="3" width="7.7109375" style="8" customWidth="1"/>
    <col min="4" max="4" width="12.28515625" style="8" customWidth="1"/>
    <col min="5" max="5" width="30.7109375" style="5" customWidth="1"/>
    <col min="6" max="6" width="21.140625" style="5" customWidth="1"/>
    <col min="7" max="7" width="11.140625" style="53" customWidth="1"/>
    <col min="8" max="8" width="12.28515625" style="5" customWidth="1"/>
    <col min="9" max="9" width="11.140625" style="5" customWidth="1"/>
    <col min="10" max="10" width="12.28515625" style="5" customWidth="1"/>
    <col min="11" max="11" width="8.7109375" style="5" customWidth="1"/>
    <col min="12" max="12" width="11.28515625" style="109" customWidth="1"/>
    <col min="13" max="13" width="9.7109375" style="5" customWidth="1"/>
    <col min="14" max="14" width="9.28515625" style="5" customWidth="1"/>
    <col min="15" max="15" width="10.140625" style="5" customWidth="1"/>
    <col min="16" max="16" width="8" style="5" customWidth="1"/>
    <col min="17" max="16384" width="9.140625" style="5"/>
  </cols>
  <sheetData>
    <row r="1" spans="1:16" ht="13.5" thickBot="1" x14ac:dyDescent="0.25">
      <c r="A1" s="34"/>
      <c r="B1" s="34"/>
      <c r="C1" s="34"/>
      <c r="D1" s="34"/>
      <c r="E1" s="34"/>
      <c r="F1" s="35"/>
      <c r="G1" s="35"/>
      <c r="H1" s="35"/>
      <c r="I1" s="35"/>
      <c r="J1" s="35"/>
      <c r="K1" s="35"/>
      <c r="L1" s="103"/>
      <c r="M1" s="35"/>
      <c r="N1" s="35"/>
      <c r="O1" s="35"/>
      <c r="P1" s="35"/>
    </row>
    <row r="2" spans="1:16" ht="37.5" customHeight="1" thickBot="1" x14ac:dyDescent="0.25">
      <c r="A2" s="65"/>
      <c r="B2" s="65" t="s">
        <v>37</v>
      </c>
      <c r="C2" s="26"/>
      <c r="D2" s="25"/>
      <c r="E2" s="68"/>
      <c r="F2" s="6"/>
      <c r="G2" s="6"/>
      <c r="H2" s="6"/>
      <c r="I2" s="6"/>
      <c r="J2" s="6"/>
      <c r="K2" s="6"/>
      <c r="L2" s="104"/>
      <c r="M2" s="6"/>
      <c r="N2" s="6"/>
      <c r="O2" s="6"/>
      <c r="P2" s="6"/>
    </row>
    <row r="3" spans="1:16" ht="23.25" customHeight="1" x14ac:dyDescent="0.2">
      <c r="A3" s="53"/>
      <c r="B3" s="47" t="s">
        <v>6</v>
      </c>
      <c r="C3" s="26"/>
      <c r="D3" s="46" t="s">
        <v>11</v>
      </c>
      <c r="E3" s="47"/>
      <c r="F3" s="4"/>
      <c r="G3" s="4"/>
      <c r="H3" s="4"/>
      <c r="I3" s="4"/>
      <c r="J3" s="4"/>
      <c r="K3" s="4"/>
      <c r="L3" s="105"/>
      <c r="M3" s="4"/>
      <c r="N3" s="4"/>
      <c r="O3" s="4"/>
      <c r="P3" s="4"/>
    </row>
    <row r="4" spans="1:16" ht="17.25" customHeight="1" x14ac:dyDescent="0.2">
      <c r="A4" s="53"/>
      <c r="B4" s="47" t="s">
        <v>36</v>
      </c>
      <c r="C4" s="26"/>
      <c r="D4" s="48" t="s">
        <v>9</v>
      </c>
      <c r="E4" s="49"/>
      <c r="F4" s="4"/>
      <c r="G4" s="4"/>
      <c r="H4" s="4"/>
      <c r="I4" s="4"/>
      <c r="J4" s="4"/>
      <c r="K4" s="4"/>
      <c r="L4" s="105"/>
      <c r="M4" s="4"/>
      <c r="N4" s="4"/>
      <c r="O4" s="4"/>
      <c r="P4" s="4"/>
    </row>
    <row r="5" spans="1:16" ht="17.25" customHeight="1" x14ac:dyDescent="0.2">
      <c r="A5" s="53"/>
      <c r="B5" s="47" t="s">
        <v>7</v>
      </c>
      <c r="C5" s="26"/>
      <c r="D5" s="45" t="s">
        <v>10</v>
      </c>
      <c r="E5" s="3"/>
      <c r="F5" s="4"/>
      <c r="G5" s="4"/>
      <c r="H5" s="4"/>
      <c r="I5" s="4"/>
      <c r="J5" s="4"/>
      <c r="K5" s="4"/>
      <c r="L5" s="105"/>
      <c r="M5" s="4"/>
      <c r="N5" s="4"/>
      <c r="O5" s="4"/>
      <c r="P5" s="4"/>
    </row>
    <row r="6" spans="1:16" x14ac:dyDescent="0.2">
      <c r="A6" s="53"/>
      <c r="B6" s="47"/>
      <c r="C6" s="46"/>
      <c r="D6" s="26"/>
      <c r="E6" s="4"/>
      <c r="F6" s="47"/>
      <c r="G6" s="4"/>
      <c r="H6" s="47"/>
      <c r="I6" s="47"/>
      <c r="J6" s="47"/>
      <c r="K6" s="47"/>
      <c r="L6" s="106"/>
      <c r="M6" s="47"/>
      <c r="N6" s="47"/>
      <c r="O6" s="47"/>
      <c r="P6" s="4"/>
    </row>
    <row r="7" spans="1:16" ht="15.75" customHeight="1" x14ac:dyDescent="0.2">
      <c r="A7" s="53"/>
      <c r="B7" s="71" t="s">
        <v>2</v>
      </c>
      <c r="C7" s="70"/>
      <c r="D7" s="98" t="s">
        <v>14</v>
      </c>
      <c r="E7" s="99" t="s">
        <v>15</v>
      </c>
      <c r="F7" s="4"/>
      <c r="G7" s="4"/>
      <c r="H7" s="4"/>
      <c r="I7" s="4"/>
      <c r="J7" s="4"/>
      <c r="K7" s="4"/>
      <c r="L7" s="105"/>
      <c r="M7" s="4"/>
      <c r="N7" s="4"/>
      <c r="O7" s="4"/>
      <c r="P7" s="1"/>
    </row>
    <row r="8" spans="1:16" ht="15.75" customHeight="1" x14ac:dyDescent="0.2">
      <c r="A8" s="53"/>
      <c r="B8" s="7"/>
      <c r="C8" s="67"/>
      <c r="D8" s="67"/>
      <c r="E8" s="7"/>
      <c r="F8" s="4"/>
      <c r="G8" s="4"/>
      <c r="H8" s="102"/>
      <c r="I8" s="4"/>
      <c r="J8" s="4"/>
      <c r="K8" s="4"/>
      <c r="L8" s="105"/>
      <c r="M8" s="4"/>
      <c r="N8" s="69" t="s">
        <v>52</v>
      </c>
      <c r="O8" s="70"/>
      <c r="P8" s="69"/>
    </row>
    <row r="9" spans="1:16" ht="15.75" customHeight="1" x14ac:dyDescent="0.2">
      <c r="A9" s="53"/>
      <c r="B9" s="7" t="s">
        <v>38</v>
      </c>
      <c r="D9" s="66" t="s">
        <v>44</v>
      </c>
      <c r="E9" s="7"/>
      <c r="F9" s="4"/>
      <c r="G9" s="4"/>
      <c r="H9" s="4"/>
      <c r="I9" s="4"/>
      <c r="J9" s="4"/>
      <c r="K9" s="4"/>
      <c r="L9" s="105"/>
      <c r="M9" s="4"/>
      <c r="N9" s="69" t="s">
        <v>53</v>
      </c>
      <c r="O9" s="70"/>
      <c r="P9" s="72">
        <v>0.91</v>
      </c>
    </row>
    <row r="10" spans="1:16" ht="15.75" customHeight="1" x14ac:dyDescent="0.2">
      <c r="A10" s="53"/>
      <c r="B10" s="7" t="s">
        <v>45</v>
      </c>
      <c r="D10" s="82" t="s">
        <v>56</v>
      </c>
      <c r="E10" s="7"/>
      <c r="F10" s="4"/>
      <c r="G10" s="4"/>
      <c r="H10" s="4"/>
      <c r="I10" s="4"/>
      <c r="J10" s="4"/>
      <c r="K10" s="4"/>
      <c r="L10" s="105"/>
      <c r="M10" s="4"/>
      <c r="N10" s="69" t="s">
        <v>54</v>
      </c>
      <c r="O10" s="70"/>
      <c r="P10" s="73">
        <v>1.17</v>
      </c>
    </row>
    <row r="11" spans="1:16" ht="15.75" customHeight="1" x14ac:dyDescent="0.2">
      <c r="A11" s="53"/>
      <c r="B11" s="4"/>
      <c r="C11" s="26"/>
      <c r="D11" s="26"/>
      <c r="E11" s="4"/>
      <c r="F11" s="4"/>
      <c r="G11" s="4"/>
      <c r="H11" s="4"/>
      <c r="I11" s="4"/>
      <c r="J11" s="4"/>
      <c r="K11" s="4"/>
      <c r="L11" s="105"/>
      <c r="M11" s="4"/>
      <c r="N11" s="4"/>
      <c r="O11" s="4"/>
      <c r="P11" s="2"/>
    </row>
    <row r="12" spans="1:16" s="58" customFormat="1" ht="48" x14ac:dyDescent="0.2">
      <c r="A12" s="97" t="s">
        <v>49</v>
      </c>
      <c r="B12" s="97" t="s">
        <v>8</v>
      </c>
      <c r="C12" s="97" t="s">
        <v>5</v>
      </c>
      <c r="D12" s="97" t="s">
        <v>3</v>
      </c>
      <c r="E12" s="97" t="s">
        <v>4</v>
      </c>
      <c r="F12" s="97" t="s">
        <v>64</v>
      </c>
      <c r="G12" s="97" t="s">
        <v>47</v>
      </c>
      <c r="H12" s="97" t="s">
        <v>48</v>
      </c>
      <c r="I12" s="97" t="s">
        <v>39</v>
      </c>
      <c r="J12" s="97" t="s">
        <v>40</v>
      </c>
      <c r="K12" s="97" t="s">
        <v>46</v>
      </c>
      <c r="L12" s="107" t="s">
        <v>41</v>
      </c>
      <c r="M12" s="97" t="s">
        <v>42</v>
      </c>
      <c r="N12" s="97" t="s">
        <v>43</v>
      </c>
      <c r="O12" s="97" t="s">
        <v>50</v>
      </c>
      <c r="P12" s="97" t="s">
        <v>51</v>
      </c>
    </row>
    <row r="13" spans="1:16" s="59" customFormat="1" x14ac:dyDescent="0.2">
      <c r="A13" s="110">
        <f>ROW(A13)-12</f>
        <v>1</v>
      </c>
      <c r="B13" s="110"/>
      <c r="C13" s="111"/>
      <c r="D13" s="110"/>
      <c r="E13" s="110"/>
      <c r="F13" s="112"/>
      <c r="G13" s="110"/>
      <c r="H13" s="110"/>
      <c r="I13" s="110"/>
      <c r="J13" s="113"/>
      <c r="K13" s="111"/>
      <c r="L13" s="123"/>
      <c r="M13" s="111"/>
      <c r="N13" s="111"/>
      <c r="O13" s="111"/>
      <c r="P13" s="124">
        <f xml:space="preserve"> IF(O13="EUR", N13*1, IF(O13="USD",N13*$P$9,N13*$P$10))</f>
        <v>0</v>
      </c>
    </row>
    <row r="14" spans="1:16" s="59" customFormat="1" x14ac:dyDescent="0.2">
      <c r="A14" s="119">
        <f t="shared" ref="A14:A15" si="0">ROW(A14)-12</f>
        <v>2</v>
      </c>
      <c r="B14" s="119"/>
      <c r="C14" s="120"/>
      <c r="D14" s="119"/>
      <c r="E14" s="119"/>
      <c r="F14" s="121"/>
      <c r="G14" s="119"/>
      <c r="H14" s="119"/>
      <c r="I14" s="119"/>
      <c r="J14" s="122"/>
      <c r="K14" s="120"/>
      <c r="L14" s="126"/>
      <c r="M14" s="120"/>
      <c r="N14" s="120"/>
      <c r="O14" s="120"/>
      <c r="P14" s="127">
        <f t="shared" ref="P14:P15" si="1" xml:space="preserve"> IF(O14="EUR", N14*1, IF(O14="USD",N14*$P$9,N14*$P$10))</f>
        <v>0</v>
      </c>
    </row>
    <row r="15" spans="1:16" s="81" customFormat="1" x14ac:dyDescent="0.2">
      <c r="A15" s="110">
        <f t="shared" si="0"/>
        <v>3</v>
      </c>
      <c r="B15" s="114"/>
      <c r="C15" s="115"/>
      <c r="D15" s="116"/>
      <c r="E15" s="116"/>
      <c r="F15" s="117"/>
      <c r="G15" s="114"/>
      <c r="H15" s="114"/>
      <c r="I15" s="114"/>
      <c r="J15" s="118"/>
      <c r="K15" s="115"/>
      <c r="L15" s="125"/>
      <c r="M15" s="115"/>
      <c r="N15" s="115"/>
      <c r="O15" s="115"/>
      <c r="P15" s="124">
        <f t="shared" si="1"/>
        <v>0</v>
      </c>
    </row>
    <row r="16" spans="1:16" s="60" customFormat="1" ht="13.5" thickBot="1" x14ac:dyDescent="0.25">
      <c r="A16" s="62"/>
      <c r="B16" s="75"/>
      <c r="C16" s="61"/>
      <c r="D16" s="61"/>
      <c r="E16" s="62"/>
      <c r="F16" s="62"/>
      <c r="G16" s="62"/>
      <c r="H16" s="62"/>
      <c r="I16" s="62"/>
      <c r="J16" s="62"/>
      <c r="K16" s="62"/>
      <c r="L16" s="108"/>
      <c r="M16" s="64"/>
      <c r="N16" s="74"/>
      <c r="O16" s="62"/>
    </row>
    <row r="17" spans="1:16" s="60" customFormat="1" x14ac:dyDescent="0.2">
      <c r="A17" s="62"/>
      <c r="B17" s="75"/>
      <c r="C17" s="61"/>
      <c r="D17" s="61"/>
      <c r="E17" s="62"/>
      <c r="F17" s="62"/>
      <c r="G17" s="63"/>
      <c r="H17" s="62"/>
      <c r="I17" s="62"/>
      <c r="J17" s="62"/>
      <c r="K17" s="62"/>
      <c r="L17" s="108"/>
      <c r="M17" s="132" t="s">
        <v>55</v>
      </c>
      <c r="O17" s="128">
        <f>SUM(P13:P15)</f>
        <v>0</v>
      </c>
      <c r="P17" s="129"/>
    </row>
    <row r="18" spans="1:16" customFormat="1" ht="13.7" customHeight="1" thickBot="1" x14ac:dyDescent="0.25">
      <c r="A18" s="76"/>
      <c r="B18" s="5"/>
      <c r="C18" s="8"/>
      <c r="D18" s="8"/>
      <c r="E18" s="5"/>
      <c r="F18" s="5"/>
      <c r="G18" s="53"/>
      <c r="H18" s="5"/>
      <c r="I18" s="5"/>
      <c r="J18" s="5"/>
      <c r="K18" s="5"/>
      <c r="L18" s="109"/>
      <c r="M18" s="132"/>
      <c r="N18" s="5"/>
      <c r="O18" s="130"/>
      <c r="P18" s="131"/>
    </row>
    <row r="19" spans="1:16" customFormat="1" ht="12.95" customHeight="1" x14ac:dyDescent="0.2">
      <c r="A19" s="76"/>
      <c r="B19" s="51" t="s">
        <v>0</v>
      </c>
      <c r="C19" s="28"/>
      <c r="D19" s="50" t="s">
        <v>1</v>
      </c>
      <c r="E19" s="28"/>
      <c r="F19" s="51"/>
      <c r="G19" s="27"/>
      <c r="H19" s="51"/>
      <c r="I19" s="51"/>
      <c r="J19" s="51"/>
      <c r="K19" s="51"/>
      <c r="L19" s="51"/>
      <c r="M19" s="51"/>
      <c r="N19" s="30"/>
      <c r="O19" s="27"/>
      <c r="P19" s="77"/>
    </row>
    <row r="20" spans="1:16" customFormat="1" ht="12.95" customHeight="1" x14ac:dyDescent="0.2">
      <c r="A20" s="76"/>
      <c r="B20" s="38"/>
      <c r="C20" s="39"/>
      <c r="D20" s="40"/>
      <c r="E20" s="39"/>
      <c r="F20" s="41"/>
      <c r="G20" s="52"/>
      <c r="H20" s="52"/>
      <c r="I20" s="52"/>
      <c r="J20" s="52"/>
      <c r="K20" s="52"/>
      <c r="L20" s="52"/>
      <c r="M20" s="52"/>
      <c r="N20" s="52"/>
      <c r="O20" s="52"/>
      <c r="P20" s="54"/>
    </row>
    <row r="21" spans="1:16" customFormat="1" ht="12.95" customHeight="1" x14ac:dyDescent="0.2">
      <c r="A21" s="76"/>
      <c r="B21" s="36"/>
      <c r="C21" s="31"/>
      <c r="D21" s="32"/>
      <c r="E21" s="31"/>
      <c r="F21" s="33"/>
      <c r="G21" s="27"/>
      <c r="H21" s="27"/>
      <c r="I21" s="27"/>
      <c r="J21" s="27"/>
      <c r="K21" s="27"/>
      <c r="L21" s="27"/>
      <c r="M21" s="27"/>
      <c r="N21" s="27"/>
      <c r="O21" s="27"/>
      <c r="P21" s="55"/>
    </row>
    <row r="22" spans="1:16" customFormat="1" ht="12.95" customHeight="1" x14ac:dyDescent="0.2">
      <c r="B22" s="36"/>
      <c r="C22" s="31"/>
      <c r="D22" s="32"/>
      <c r="E22" s="31"/>
      <c r="F22" s="33"/>
      <c r="G22" s="27"/>
      <c r="H22" s="27"/>
      <c r="I22" s="27"/>
      <c r="J22" s="27"/>
      <c r="K22" s="27"/>
      <c r="L22" s="27"/>
      <c r="M22" s="27"/>
      <c r="N22" s="27"/>
      <c r="O22" s="27"/>
      <c r="P22" s="78"/>
    </row>
    <row r="23" spans="1:16" customFormat="1" ht="9.75" customHeight="1" x14ac:dyDescent="0.2">
      <c r="B23" s="36"/>
      <c r="C23" s="31"/>
      <c r="D23" s="32"/>
      <c r="E23" s="31"/>
      <c r="F23" s="33"/>
      <c r="G23" s="27"/>
      <c r="H23" s="27"/>
      <c r="I23" s="27"/>
      <c r="J23" s="27"/>
      <c r="K23" s="27"/>
      <c r="L23" s="27"/>
      <c r="M23" s="27"/>
      <c r="N23" s="27"/>
      <c r="O23" s="27"/>
      <c r="P23" s="78"/>
    </row>
    <row r="24" spans="1:16" customFormat="1" ht="12.95" customHeight="1" x14ac:dyDescent="0.2">
      <c r="B24" s="37"/>
      <c r="C24" s="42"/>
      <c r="D24" s="43"/>
      <c r="E24" s="42"/>
      <c r="F24" s="44"/>
      <c r="G24" s="30"/>
      <c r="H24" s="30"/>
      <c r="I24" s="30"/>
      <c r="J24" s="30"/>
      <c r="K24" s="30"/>
      <c r="L24" s="30"/>
      <c r="M24" s="27"/>
      <c r="N24" s="27"/>
      <c r="O24" s="27"/>
      <c r="P24" s="78"/>
    </row>
    <row r="25" spans="1:16" customFormat="1" ht="12.95" customHeight="1" x14ac:dyDescent="0.2">
      <c r="B25" s="37"/>
      <c r="C25" s="29"/>
      <c r="D25" s="29"/>
      <c r="E25" s="29"/>
      <c r="F25" s="30"/>
      <c r="G25" s="30"/>
      <c r="H25" s="30"/>
      <c r="I25" s="30"/>
      <c r="J25" s="30"/>
      <c r="K25" s="30"/>
      <c r="L25" s="30"/>
      <c r="M25" s="79"/>
      <c r="N25" s="79"/>
      <c r="O25" s="79"/>
      <c r="P25" s="80"/>
    </row>
    <row r="26" spans="1:16" customFormat="1" ht="12.95" customHeight="1" x14ac:dyDescent="0.2">
      <c r="B26" s="19"/>
      <c r="C26" s="20"/>
      <c r="D26" s="20"/>
      <c r="E26" s="20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56"/>
    </row>
    <row r="27" spans="1:16" x14ac:dyDescent="0.2">
      <c r="B27" s="22"/>
      <c r="C27" s="23"/>
      <c r="D27" s="23"/>
      <c r="E27" s="23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57"/>
    </row>
    <row r="37" spans="7:8" x14ac:dyDescent="0.2">
      <c r="G37" s="101"/>
    </row>
    <row r="38" spans="7:8" x14ac:dyDescent="0.2">
      <c r="H38" s="100"/>
    </row>
    <row r="39" spans="7:8" x14ac:dyDescent="0.2">
      <c r="G39" s="101"/>
    </row>
    <row r="40" spans="7:8" x14ac:dyDescent="0.2">
      <c r="G40" s="101"/>
    </row>
    <row r="41" spans="7:8" x14ac:dyDescent="0.2">
      <c r="G41" s="101"/>
    </row>
    <row r="42" spans="7:8" x14ac:dyDescent="0.2">
      <c r="G42" s="101"/>
    </row>
    <row r="43" spans="7:8" x14ac:dyDescent="0.2">
      <c r="G43" s="101"/>
    </row>
    <row r="44" spans="7:8" x14ac:dyDescent="0.2">
      <c r="G44" s="101"/>
    </row>
    <row r="45" spans="7:8" x14ac:dyDescent="0.2">
      <c r="G45" s="101"/>
    </row>
    <row r="46" spans="7:8" x14ac:dyDescent="0.2">
      <c r="G46" s="101"/>
    </row>
  </sheetData>
  <mergeCells count="2">
    <mergeCell ref="O17:P18"/>
    <mergeCell ref="M17:M18"/>
  </mergeCells>
  <phoneticPr fontId="0" type="noConversion"/>
  <conditionalFormatting sqref="K13:K15">
    <cfRule type="cellIs" dxfId="4" priority="1" stopIfTrue="1" operator="lessThan">
      <formula>1</formula>
    </cfRule>
  </conditionalFormatting>
  <pageMargins left="0" right="0" top="0" bottom="0" header="0" footer="0"/>
  <pageSetup paperSize="9" scale="76" fitToHeight="0" orientation="landscape" verticalDpi="200" r:id="rId1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4"/>
  <sheetViews>
    <sheetView zoomScaleNormal="100" zoomScaleSheetLayoutView="115" workbookViewId="0">
      <selection activeCell="K33" sqref="K33"/>
    </sheetView>
  </sheetViews>
  <sheetFormatPr defaultRowHeight="12.75" x14ac:dyDescent="0.2"/>
  <cols>
    <col min="1" max="1" width="4.5703125" customWidth="1"/>
    <col min="2" max="2" width="10.28515625" customWidth="1"/>
    <col min="3" max="3" width="9.5703125" customWidth="1"/>
    <col min="4" max="4" width="9.140625" customWidth="1"/>
    <col min="5" max="5" width="15.85546875" customWidth="1"/>
    <col min="6" max="6" width="10.42578125" customWidth="1"/>
    <col min="7" max="7" width="13.5703125" customWidth="1"/>
    <col min="8" max="8" width="9.42578125" customWidth="1"/>
    <col min="9" max="9" width="10.28515625" customWidth="1"/>
    <col min="10" max="10" width="10.140625" customWidth="1"/>
    <col min="11" max="11" width="10.28515625" customWidth="1"/>
    <col min="12" max="12" width="10" customWidth="1"/>
    <col min="14" max="14" width="10" customWidth="1"/>
    <col min="16" max="16" width="10.42578125" customWidth="1"/>
    <col min="18" max="18" width="10.140625" customWidth="1"/>
    <col min="19" max="19" width="10.28515625" customWidth="1"/>
    <col min="21" max="21" width="10.140625" customWidth="1"/>
  </cols>
  <sheetData>
    <row r="1" spans="1:21" ht="48.75" thickBot="1" x14ac:dyDescent="0.25">
      <c r="A1" s="83" t="s">
        <v>49</v>
      </c>
      <c r="B1" s="83" t="s">
        <v>8</v>
      </c>
      <c r="C1" s="83" t="s">
        <v>5</v>
      </c>
      <c r="D1" s="83" t="s">
        <v>3</v>
      </c>
      <c r="E1" s="83" t="s">
        <v>4</v>
      </c>
      <c r="F1" s="83" t="s">
        <v>47</v>
      </c>
      <c r="G1" s="91" t="s">
        <v>48</v>
      </c>
      <c r="H1" s="89" t="s">
        <v>39</v>
      </c>
      <c r="I1" s="84" t="s">
        <v>40</v>
      </c>
      <c r="J1" s="84" t="s">
        <v>46</v>
      </c>
      <c r="K1" s="84" t="s">
        <v>41</v>
      </c>
      <c r="L1" s="84" t="s">
        <v>42</v>
      </c>
      <c r="M1" s="84" t="s">
        <v>43</v>
      </c>
      <c r="N1" s="94" t="s">
        <v>50</v>
      </c>
      <c r="O1" s="93" t="s">
        <v>57</v>
      </c>
      <c r="P1" s="85" t="s">
        <v>58</v>
      </c>
      <c r="Q1" s="85" t="s">
        <v>59</v>
      </c>
      <c r="R1" s="85" t="s">
        <v>60</v>
      </c>
      <c r="S1" s="85" t="s">
        <v>61</v>
      </c>
      <c r="T1" s="85" t="s">
        <v>62</v>
      </c>
      <c r="U1" s="85" t="s">
        <v>63</v>
      </c>
    </row>
    <row r="2" spans="1:21" s="88" customFormat="1" x14ac:dyDescent="0.2">
      <c r="A2" s="86">
        <f>ROW(A2)-1</f>
        <v>1</v>
      </c>
      <c r="B2" s="87"/>
      <c r="C2" s="87"/>
      <c r="D2" s="87"/>
      <c r="E2" s="87"/>
      <c r="F2" s="87"/>
      <c r="G2" s="92"/>
      <c r="H2" s="90"/>
      <c r="I2" s="87"/>
      <c r="J2" s="96"/>
      <c r="K2" s="87"/>
      <c r="L2" s="87"/>
      <c r="M2" s="87"/>
      <c r="N2" s="92"/>
      <c r="O2" s="90"/>
      <c r="P2" s="87"/>
      <c r="Q2" s="96"/>
      <c r="R2" s="87"/>
      <c r="S2" s="87"/>
      <c r="T2" s="87"/>
      <c r="U2" s="87"/>
    </row>
    <row r="3" spans="1:21" s="88" customFormat="1" x14ac:dyDescent="0.2">
      <c r="A3" s="86">
        <f t="shared" ref="A3:A4" si="0">ROW(A3)-1</f>
        <v>2</v>
      </c>
      <c r="B3" s="87"/>
      <c r="C3" s="87"/>
      <c r="D3" s="87"/>
      <c r="E3" s="87"/>
      <c r="F3" s="87"/>
      <c r="G3" s="92"/>
      <c r="H3" s="90"/>
      <c r="I3" s="87"/>
      <c r="J3" s="95"/>
      <c r="K3" s="87"/>
      <c r="L3" s="87"/>
      <c r="M3" s="87"/>
      <c r="N3" s="92"/>
      <c r="O3" s="90"/>
      <c r="P3" s="87"/>
      <c r="Q3" s="95"/>
      <c r="R3" s="87"/>
      <c r="S3" s="87"/>
      <c r="T3" s="87"/>
      <c r="U3" s="87"/>
    </row>
    <row r="4" spans="1:21" s="88" customFormat="1" x14ac:dyDescent="0.2">
      <c r="A4" s="86">
        <f t="shared" si="0"/>
        <v>3</v>
      </c>
      <c r="B4" s="87"/>
      <c r="C4" s="87"/>
      <c r="D4" s="87"/>
      <c r="E4" s="87"/>
      <c r="F4" s="87"/>
      <c r="G4" s="92"/>
      <c r="H4" s="90"/>
      <c r="I4" s="87"/>
      <c r="J4" s="95"/>
      <c r="K4" s="87"/>
      <c r="L4" s="87"/>
      <c r="M4" s="87"/>
      <c r="N4" s="92"/>
      <c r="O4" s="90"/>
      <c r="P4" s="87"/>
      <c r="Q4" s="95"/>
      <c r="R4" s="87"/>
      <c r="S4" s="87"/>
      <c r="T4" s="87"/>
      <c r="U4" s="87"/>
    </row>
  </sheetData>
  <conditionalFormatting sqref="J2:J4">
    <cfRule type="cellIs" dxfId="3" priority="9" stopIfTrue="1" operator="lessThan">
      <formula>1</formula>
    </cfRule>
  </conditionalFormatting>
  <conditionalFormatting sqref="J2:J4">
    <cfRule type="cellIs" dxfId="2" priority="7" operator="equal">
      <formula>0</formula>
    </cfRule>
  </conditionalFormatting>
  <conditionalFormatting sqref="Q2:Q4">
    <cfRule type="cellIs" dxfId="1" priority="6" stopIfTrue="1" operator="lessThan">
      <formula>1</formula>
    </cfRule>
  </conditionalFormatting>
  <conditionalFormatting sqref="Q2:Q4">
    <cfRule type="cellIs" dxfId="0" priority="5" operator="equal">
      <formula>0</formula>
    </cfRule>
  </conditionalFormatting>
  <printOptions gridLines="1"/>
  <pageMargins left="0.25" right="0.25" top="0.75" bottom="0.75" header="0.3" footer="0.3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zoomScale="115" zoomScaleNormal="115" workbookViewId="0">
      <selection activeCell="B10" sqref="B10"/>
    </sheetView>
  </sheetViews>
  <sheetFormatPr defaultRowHeight="12.75" x14ac:dyDescent="0.2"/>
  <cols>
    <col min="1" max="1" width="30.28515625" style="9" customWidth="1"/>
    <col min="2" max="2" width="108.5703125" style="9" customWidth="1"/>
  </cols>
  <sheetData>
    <row r="1" spans="1:2" s="12" customFormat="1" ht="17.25" customHeight="1" x14ac:dyDescent="0.2">
      <c r="A1" s="10" t="s">
        <v>23</v>
      </c>
      <c r="B1" s="11" t="s">
        <v>18</v>
      </c>
    </row>
    <row r="2" spans="1:2" s="12" customFormat="1" ht="17.25" customHeight="1" x14ac:dyDescent="0.2">
      <c r="A2" s="13" t="s">
        <v>25</v>
      </c>
      <c r="B2" s="14" t="s">
        <v>9</v>
      </c>
    </row>
    <row r="3" spans="1:2" s="12" customFormat="1" ht="17.25" customHeight="1" x14ac:dyDescent="0.2">
      <c r="A3" s="15" t="s">
        <v>24</v>
      </c>
      <c r="B3" s="16" t="s">
        <v>10</v>
      </c>
    </row>
    <row r="4" spans="1:2" s="12" customFormat="1" ht="17.25" customHeight="1" x14ac:dyDescent="0.2">
      <c r="A4" s="13" t="s">
        <v>26</v>
      </c>
      <c r="B4" s="14" t="s">
        <v>11</v>
      </c>
    </row>
    <row r="5" spans="1:2" s="12" customFormat="1" ht="17.25" customHeight="1" x14ac:dyDescent="0.2">
      <c r="A5" s="15" t="s">
        <v>27</v>
      </c>
      <c r="B5" s="16" t="s">
        <v>19</v>
      </c>
    </row>
    <row r="6" spans="1:2" s="12" customFormat="1" ht="17.25" customHeight="1" x14ac:dyDescent="0.2">
      <c r="A6" s="13" t="s">
        <v>17</v>
      </c>
      <c r="B6" s="14" t="s">
        <v>13</v>
      </c>
    </row>
    <row r="7" spans="1:2" s="12" customFormat="1" ht="17.25" customHeight="1" x14ac:dyDescent="0.2">
      <c r="A7" s="15" t="s">
        <v>28</v>
      </c>
      <c r="B7" s="16" t="s">
        <v>12</v>
      </c>
    </row>
    <row r="8" spans="1:2" s="12" customFormat="1" ht="17.25" customHeight="1" x14ac:dyDescent="0.2">
      <c r="A8" s="13" t="s">
        <v>29</v>
      </c>
      <c r="B8" s="14" t="s">
        <v>15</v>
      </c>
    </row>
    <row r="9" spans="1:2" s="12" customFormat="1" ht="17.25" customHeight="1" x14ac:dyDescent="0.2">
      <c r="A9" s="15" t="s">
        <v>30</v>
      </c>
      <c r="B9" s="16" t="s">
        <v>14</v>
      </c>
    </row>
    <row r="10" spans="1:2" s="12" customFormat="1" ht="17.25" customHeight="1" x14ac:dyDescent="0.2">
      <c r="A10" s="13" t="s">
        <v>65</v>
      </c>
      <c r="B10" s="14" t="s">
        <v>32</v>
      </c>
    </row>
    <row r="11" spans="1:2" s="12" customFormat="1" ht="17.25" customHeight="1" x14ac:dyDescent="0.2">
      <c r="A11" s="15" t="s">
        <v>31</v>
      </c>
      <c r="B11" s="16" t="s">
        <v>20</v>
      </c>
    </row>
    <row r="12" spans="1:2" s="12" customFormat="1" ht="17.25" customHeight="1" x14ac:dyDescent="0.2">
      <c r="A12" s="13" t="s">
        <v>33</v>
      </c>
      <c r="B12" s="14" t="s">
        <v>21</v>
      </c>
    </row>
    <row r="13" spans="1:2" s="12" customFormat="1" ht="17.25" customHeight="1" x14ac:dyDescent="0.2">
      <c r="A13" s="15" t="s">
        <v>34</v>
      </c>
      <c r="B13" s="16" t="s">
        <v>22</v>
      </c>
    </row>
    <row r="14" spans="1:2" s="12" customFormat="1" ht="17.25" customHeight="1" thickBot="1" x14ac:dyDescent="0.25">
      <c r="A14" s="17" t="s">
        <v>35</v>
      </c>
      <c r="B14" s="18" t="s">
        <v>16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BOM Report</vt:lpstr>
      <vt:lpstr>Stock</vt:lpstr>
      <vt:lpstr>Project Information</vt:lpstr>
      <vt:lpstr>'BOM Report'!Print_Area</vt:lpstr>
      <vt:lpstr>Stock!Print_Area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Arthur</dc:creator>
  <cp:lastModifiedBy>Arthur</cp:lastModifiedBy>
  <cp:lastPrinted>2020-10-15T14:47:48Z</cp:lastPrinted>
  <dcterms:created xsi:type="dcterms:W3CDTF">2000-10-27T00:30:29Z</dcterms:created>
  <dcterms:modified xsi:type="dcterms:W3CDTF">2020-10-15T14:49:51Z</dcterms:modified>
</cp:coreProperties>
</file>